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F3" i="1" l="1"/>
  <c r="G3" i="1"/>
  <c r="H3" i="1"/>
  <c r="F4" i="1"/>
  <c r="G4" i="1"/>
  <c r="H4" i="1"/>
  <c r="F5" i="1"/>
  <c r="G5" i="1"/>
  <c r="H5" i="1"/>
  <c r="F6" i="1"/>
  <c r="G6" i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H12" i="1"/>
  <c r="F13" i="1"/>
  <c r="G13" i="1"/>
  <c r="H13" i="1"/>
  <c r="F14" i="1"/>
  <c r="G14" i="1"/>
  <c r="H14" i="1"/>
  <c r="F15" i="1"/>
  <c r="G15" i="1"/>
  <c r="H15" i="1"/>
  <c r="F16" i="1"/>
  <c r="G16" i="1"/>
  <c r="H16" i="1"/>
  <c r="F17" i="1"/>
  <c r="G17" i="1"/>
  <c r="H17" i="1"/>
  <c r="F18" i="1"/>
  <c r="G18" i="1"/>
  <c r="H18" i="1"/>
  <c r="F19" i="1"/>
  <c r="G19" i="1"/>
  <c r="H19" i="1"/>
  <c r="F20" i="1"/>
  <c r="G20" i="1"/>
  <c r="H20" i="1"/>
  <c r="F21" i="1"/>
  <c r="G21" i="1"/>
  <c r="H21" i="1"/>
  <c r="F22" i="1"/>
  <c r="G22" i="1"/>
  <c r="H22" i="1"/>
  <c r="F23" i="1"/>
  <c r="G23" i="1"/>
  <c r="H23" i="1"/>
  <c r="F24" i="1"/>
  <c r="G24" i="1"/>
  <c r="H24" i="1"/>
  <c r="F25" i="1"/>
  <c r="G25" i="1"/>
  <c r="H25" i="1"/>
  <c r="H2" i="1"/>
  <c r="G2" i="1"/>
  <c r="F2" i="1"/>
  <c r="N9" i="1" l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P8" i="1"/>
  <c r="O8" i="1"/>
  <c r="N8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</calcChain>
</file>

<file path=xl/sharedStrings.xml><?xml version="1.0" encoding="utf-8"?>
<sst xmlns="http://schemas.openxmlformats.org/spreadsheetml/2006/main" count="258" uniqueCount="131">
  <si>
    <t>ID</t>
  </si>
  <si>
    <t>Station Name</t>
  </si>
  <si>
    <t>River Basin</t>
  </si>
  <si>
    <t>County</t>
  </si>
  <si>
    <t>Reservoir Area [acre]</t>
  </si>
  <si>
    <t>Drainage Area   [sq mi]</t>
  </si>
  <si>
    <t>Height [ft]</t>
  </si>
  <si>
    <t>Usage</t>
  </si>
  <si>
    <t>Q years</t>
  </si>
  <si>
    <t>E years</t>
  </si>
  <si>
    <t>Reservoir Inflow (cfs)  (daily)</t>
  </si>
  <si>
    <t>Evapo. Pan Increment (in) (daily)</t>
  </si>
  <si>
    <t>MERCED R</t>
  </si>
  <si>
    <t>MARIPOSA</t>
  </si>
  <si>
    <t>---</t>
  </si>
  <si>
    <t>1994-2005</t>
  </si>
  <si>
    <t>okay</t>
  </si>
  <si>
    <t>BLB</t>
  </si>
  <si>
    <t>BLACK BUTTE</t>
  </si>
  <si>
    <t>STONY CR</t>
  </si>
  <si>
    <t>TEHAMA</t>
  </si>
  <si>
    <t>STO, FC, IRR, REC</t>
  </si>
  <si>
    <t>BUC</t>
  </si>
  <si>
    <t>BUCHANAN DAM</t>
  </si>
  <si>
    <t>CHOWCHILLA R</t>
  </si>
  <si>
    <t>MADERA</t>
  </si>
  <si>
    <t>TRINITY R</t>
  </si>
  <si>
    <t>TRINITY</t>
  </si>
  <si>
    <t>MULTI, IRR, REC, POW</t>
  </si>
  <si>
    <t>CMN</t>
  </si>
  <si>
    <t>CAMANCHE RESERVOIR</t>
  </si>
  <si>
    <t>MOKELUMNE R</t>
  </si>
  <si>
    <t>SAN JOAQUIN</t>
  </si>
  <si>
    <t>STO, MUN, FC</t>
  </si>
  <si>
    <t>COY</t>
  </si>
  <si>
    <t>COYOTE (LAKE MENDOCINO)</t>
  </si>
  <si>
    <t>RUSSIAN R</t>
  </si>
  <si>
    <t>MENDOCINO</t>
  </si>
  <si>
    <t>FC</t>
  </si>
  <si>
    <t>ENG</t>
  </si>
  <si>
    <t>ENGLEBRIGHT (USACE)</t>
  </si>
  <si>
    <t>YUBA R</t>
  </si>
  <si>
    <t>NEVADA</t>
  </si>
  <si>
    <t>DC, POW</t>
  </si>
  <si>
    <t>EXC</t>
  </si>
  <si>
    <t>NEW EXCHEQUER-LK MCCLURE</t>
  </si>
  <si>
    <t>STO, FC, IRR, REC, POW</t>
  </si>
  <si>
    <t>FOL</t>
  </si>
  <si>
    <t>FOLSOM LAKE</t>
  </si>
  <si>
    <t>AMERICAN R</t>
  </si>
  <si>
    <t>SACRAMENTO</t>
  </si>
  <si>
    <t>1955-2005</t>
  </si>
  <si>
    <t>HID</t>
  </si>
  <si>
    <t>HIDDEN DAM (HENSLEY)</t>
  </si>
  <si>
    <t>FRESNO R</t>
  </si>
  <si>
    <t>ISB</t>
  </si>
  <si>
    <t>ISABELLA DAM</t>
  </si>
  <si>
    <t>KERN R</t>
  </si>
  <si>
    <t>KERN</t>
  </si>
  <si>
    <t>MULTI, IRR, REC</t>
  </si>
  <si>
    <t>KES</t>
  </si>
  <si>
    <t>KESWICK RESERVOIR</t>
  </si>
  <si>
    <t>SACRAMENTO R</t>
  </si>
  <si>
    <t>SHASTA</t>
  </si>
  <si>
    <t>LEW</t>
  </si>
  <si>
    <t>LEWISTON</t>
  </si>
  <si>
    <t>2000-2005</t>
  </si>
  <si>
    <t>MIL</t>
  </si>
  <si>
    <t>FRIANT DAM (MILLERTON)</t>
  </si>
  <si>
    <t>SAN JOAQUIN R</t>
  </si>
  <si>
    <t>FRESNO</t>
  </si>
  <si>
    <t>NAT</t>
  </si>
  <si>
    <t>LAKE NATOMA (NIMBUS DAM)</t>
  </si>
  <si>
    <t>NHG</t>
  </si>
  <si>
    <t>NEW HOGAN LAKE</t>
  </si>
  <si>
    <t>CALAVERAS R</t>
  </si>
  <si>
    <t>CALAVERAS</t>
  </si>
  <si>
    <t>STO, MUN, IRR, REC, FC</t>
  </si>
  <si>
    <t>NML</t>
  </si>
  <si>
    <t>NEW MELONES RESERVOIR</t>
  </si>
  <si>
    <t>STANISLAUS R</t>
  </si>
  <si>
    <t>IRR, MUN, POW, REC</t>
  </si>
  <si>
    <t>ORO</t>
  </si>
  <si>
    <t>OROVILLE DAM</t>
  </si>
  <si>
    <t>FEATHER R</t>
  </si>
  <si>
    <t>BUTTE</t>
  </si>
  <si>
    <t>MULTI, IRR, MUN, POW</t>
  </si>
  <si>
    <t>PAR</t>
  </si>
  <si>
    <t>PARDEE</t>
  </si>
  <si>
    <t>STO, DIV, MUN, POW</t>
  </si>
  <si>
    <t>PNF</t>
  </si>
  <si>
    <t>PINE FLAT DAM</t>
  </si>
  <si>
    <t>KINGS R</t>
  </si>
  <si>
    <t>SCC</t>
  </si>
  <si>
    <t>SUCCESS DAM</t>
  </si>
  <si>
    <t>TULE R</t>
  </si>
  <si>
    <t>TULARE</t>
  </si>
  <si>
    <t>SHA</t>
  </si>
  <si>
    <t>SHASTA DAM (USBR)</t>
  </si>
  <si>
    <t>TRM</t>
  </si>
  <si>
    <t>TERMINUS DAM</t>
  </si>
  <si>
    <t>KAWEAH R</t>
  </si>
  <si>
    <t>TUL</t>
  </si>
  <si>
    <t>TULLOCH</t>
  </si>
  <si>
    <t>STO, IRR, REC, POW</t>
  </si>
  <si>
    <t>WHI</t>
  </si>
  <si>
    <t>WHISKEYTOWN DAM (USBR)</t>
  </si>
  <si>
    <t>WRS</t>
  </si>
  <si>
    <t>WARM SPRINGS (USACE)</t>
  </si>
  <si>
    <t>SONOMA</t>
  </si>
  <si>
    <t>Storage Capacity [ac-ft]</t>
  </si>
  <si>
    <t>STO</t>
  </si>
  <si>
    <t>IRR</t>
  </si>
  <si>
    <t>REC</t>
  </si>
  <si>
    <t>MUN</t>
  </si>
  <si>
    <t>DC</t>
  </si>
  <si>
    <t>POW</t>
  </si>
  <si>
    <t>MULTI</t>
  </si>
  <si>
    <t>DIV</t>
  </si>
  <si>
    <t>Main Use</t>
  </si>
  <si>
    <t>C</t>
  </si>
  <si>
    <t>S</t>
  </si>
  <si>
    <t>H</t>
  </si>
  <si>
    <t>I</t>
  </si>
  <si>
    <t>Main_C</t>
  </si>
  <si>
    <t>Main_S</t>
  </si>
  <si>
    <t>Main_H</t>
  </si>
  <si>
    <t>Main_I</t>
  </si>
  <si>
    <t>Capacity_Medium</t>
  </si>
  <si>
    <t>Capacity_Large</t>
  </si>
  <si>
    <t>Capacity_Small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</si>
</sst>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3" fontId="3" fillId="0" borderId="4" xfId="0" applyNumberFormat="1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0" fillId="0" borderId="1" xfId="0" quotePrefix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2" borderId="0" xfId="0" applyFill="1"/>
    <xf numFmtId="0" fontId="0" fillId="0" borderId="1" xfId="0" applyBorder="1"/>
    <xf numFmtId="3" fontId="4" fillId="0" borderId="4" xfId="0" applyNumberFormat="1" applyFont="1" applyBorder="1" applyAlignment="1">
      <alignment wrapText="1"/>
    </xf>
    <xf numFmtId="0" fontId="4" fillId="0" borderId="4" xfId="0" applyFont="1" applyBorder="1" applyAlignment="1">
      <alignment wrapText="1"/>
    </xf>
    <xf numFmtId="4" fontId="3" fillId="0" borderId="4" xfId="0" applyNumberFormat="1" applyFont="1" applyBorder="1" applyAlignment="1">
      <alignment wrapText="1"/>
    </xf>
    <xf numFmtId="3" fontId="4" fillId="0" borderId="4" xfId="0" applyNumberFormat="1" applyFont="1" applyBorder="1"/>
    <xf numFmtId="0" fontId="5" fillId="0" borderId="2" xfId="0" applyFont="1" applyFill="1" applyBorder="1" applyAlignment="1">
      <alignment horizontal="center"/>
    </xf>
    <xf numFmtId="0" fontId="3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6" xfId="0" quotePrefix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2" borderId="9" xfId="0" applyFont="1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/>
    </xf>
    <xf numFmtId="0" fontId="2" fillId="0" borderId="5" xfId="0" applyFont="1" applyBorder="1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7" sqref="G7"/>
    </sheetView>
  </sheetViews>
  <sheetFormatPr defaultRowHeight="15" x14ac:dyDescent="0.25"/>
  <cols>
    <col min="2" max="2" width="28.140625" bestFit="1" customWidth="1"/>
  </cols>
  <sheetData>
    <row r="1" spans="1:31" ht="5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110</v>
      </c>
      <c r="F1" s="2" t="s">
        <v>130</v>
      </c>
      <c r="G1" s="2" t="s">
        <v>128</v>
      </c>
      <c r="H1" s="2" t="s">
        <v>129</v>
      </c>
      <c r="I1" s="2" t="s">
        <v>4</v>
      </c>
      <c r="J1" s="2" t="s">
        <v>5</v>
      </c>
      <c r="K1" s="2" t="s">
        <v>6</v>
      </c>
      <c r="L1" s="2" t="s">
        <v>119</v>
      </c>
      <c r="M1" s="2" t="s">
        <v>124</v>
      </c>
      <c r="N1" s="2" t="s">
        <v>125</v>
      </c>
      <c r="O1" s="2" t="s">
        <v>126</v>
      </c>
      <c r="P1" s="2" t="s">
        <v>127</v>
      </c>
      <c r="Q1" s="2" t="s">
        <v>7</v>
      </c>
      <c r="R1" s="25" t="s">
        <v>111</v>
      </c>
      <c r="S1" s="25" t="s">
        <v>38</v>
      </c>
      <c r="T1" s="25" t="s">
        <v>112</v>
      </c>
      <c r="U1" s="25" t="s">
        <v>113</v>
      </c>
      <c r="V1" s="25" t="s">
        <v>114</v>
      </c>
      <c r="W1" s="25" t="s">
        <v>115</v>
      </c>
      <c r="X1" s="25" t="s">
        <v>116</v>
      </c>
      <c r="Y1" s="25" t="s">
        <v>117</v>
      </c>
      <c r="Z1" s="25" t="s">
        <v>118</v>
      </c>
      <c r="AA1" s="3" t="s">
        <v>8</v>
      </c>
      <c r="AB1" s="3" t="s">
        <v>9</v>
      </c>
      <c r="AC1" s="2" t="s">
        <v>10</v>
      </c>
      <c r="AD1" s="2" t="s">
        <v>11</v>
      </c>
    </row>
    <row r="2" spans="1:31" ht="26.25" x14ac:dyDescent="0.25">
      <c r="A2" s="4" t="s">
        <v>17</v>
      </c>
      <c r="B2" s="5" t="s">
        <v>18</v>
      </c>
      <c r="C2" s="5" t="s">
        <v>19</v>
      </c>
      <c r="D2" s="5" t="s">
        <v>20</v>
      </c>
      <c r="E2" s="7">
        <v>143700</v>
      </c>
      <c r="F2" s="7">
        <f>IF($E2&lt;100000,1,0)</f>
        <v>0</v>
      </c>
      <c r="G2" s="7">
        <f>IF($E2&lt;1000000,1,0)</f>
        <v>1</v>
      </c>
      <c r="H2" s="7">
        <f>IF($E2&gt;=1000000,1,0)</f>
        <v>0</v>
      </c>
      <c r="I2" s="7">
        <v>4560</v>
      </c>
      <c r="J2" s="8">
        <v>741</v>
      </c>
      <c r="K2" s="8">
        <v>156</v>
      </c>
      <c r="L2" s="27" t="s">
        <v>120</v>
      </c>
      <c r="M2" s="27">
        <v>1</v>
      </c>
      <c r="N2" s="27">
        <v>0</v>
      </c>
      <c r="O2" s="27">
        <v>0</v>
      </c>
      <c r="P2" s="27">
        <v>0</v>
      </c>
      <c r="Q2" s="20" t="s">
        <v>21</v>
      </c>
      <c r="R2" s="18">
        <v>1</v>
      </c>
      <c r="S2" s="18">
        <v>1</v>
      </c>
      <c r="T2" s="18">
        <v>1</v>
      </c>
      <c r="U2" s="18">
        <v>1</v>
      </c>
      <c r="V2" s="18">
        <v>0</v>
      </c>
      <c r="W2" s="18">
        <v>0</v>
      </c>
      <c r="X2" s="18">
        <v>0</v>
      </c>
      <c r="Y2" s="18">
        <v>0</v>
      </c>
      <c r="Z2" s="18">
        <v>0</v>
      </c>
      <c r="AA2" s="23">
        <v>11</v>
      </c>
      <c r="AB2" s="9" t="s">
        <v>14</v>
      </c>
      <c r="AC2" s="10" t="s">
        <v>15</v>
      </c>
      <c r="AD2" s="9" t="s">
        <v>14</v>
      </c>
      <c r="AE2" s="11" t="s">
        <v>16</v>
      </c>
    </row>
    <row r="3" spans="1:31" ht="26.25" x14ac:dyDescent="0.25">
      <c r="A3" s="4" t="s">
        <v>22</v>
      </c>
      <c r="B3" s="5" t="s">
        <v>23</v>
      </c>
      <c r="C3" s="5" t="s">
        <v>24</v>
      </c>
      <c r="D3" s="5" t="s">
        <v>25</v>
      </c>
      <c r="E3" s="7">
        <v>150000</v>
      </c>
      <c r="F3" s="7">
        <f t="shared" ref="F3:F25" si="0">IF($E3&lt;100000,1,0)</f>
        <v>0</v>
      </c>
      <c r="G3" s="7">
        <f t="shared" ref="G3:G25" si="1">IF($E3&lt;1000000,1,0)</f>
        <v>1</v>
      </c>
      <c r="H3" s="7">
        <f t="shared" ref="H3:H25" si="2">IF($E3&gt;=1000000,1,0)</f>
        <v>0</v>
      </c>
      <c r="I3" s="7">
        <v>1780</v>
      </c>
      <c r="J3" s="8">
        <v>235</v>
      </c>
      <c r="K3" s="8">
        <v>192</v>
      </c>
      <c r="L3" s="27" t="s">
        <v>120</v>
      </c>
      <c r="M3" s="27">
        <v>1</v>
      </c>
      <c r="N3" s="27">
        <v>0</v>
      </c>
      <c r="O3" s="27">
        <v>0</v>
      </c>
      <c r="P3" s="27">
        <v>0</v>
      </c>
      <c r="Q3" s="20" t="s">
        <v>21</v>
      </c>
      <c r="R3" s="18">
        <v>1</v>
      </c>
      <c r="S3" s="18">
        <v>1</v>
      </c>
      <c r="T3" s="18">
        <v>1</v>
      </c>
      <c r="U3" s="18">
        <v>1</v>
      </c>
      <c r="V3" s="18">
        <v>0</v>
      </c>
      <c r="W3" s="18">
        <v>0</v>
      </c>
      <c r="X3" s="18">
        <v>0</v>
      </c>
      <c r="Y3" s="18">
        <v>0</v>
      </c>
      <c r="Z3" s="18">
        <v>0</v>
      </c>
      <c r="AA3" s="24">
        <v>11</v>
      </c>
      <c r="AB3" s="9" t="s">
        <v>14</v>
      </c>
      <c r="AC3" s="10" t="s">
        <v>15</v>
      </c>
      <c r="AD3" s="9" t="s">
        <v>14</v>
      </c>
      <c r="AE3" s="11" t="s">
        <v>16</v>
      </c>
    </row>
    <row r="4" spans="1:31" ht="26.25" x14ac:dyDescent="0.25">
      <c r="A4" s="4" t="s">
        <v>29</v>
      </c>
      <c r="B4" s="5" t="s">
        <v>30</v>
      </c>
      <c r="C4" s="5" t="s">
        <v>31</v>
      </c>
      <c r="D4" s="5" t="s">
        <v>32</v>
      </c>
      <c r="E4" s="7">
        <v>417120</v>
      </c>
      <c r="F4" s="7">
        <f t="shared" si="0"/>
        <v>0</v>
      </c>
      <c r="G4" s="7">
        <f t="shared" si="1"/>
        <v>1</v>
      </c>
      <c r="H4" s="7">
        <f t="shared" si="2"/>
        <v>0</v>
      </c>
      <c r="I4" s="7">
        <v>7700</v>
      </c>
      <c r="J4" s="8">
        <v>619</v>
      </c>
      <c r="K4" s="8">
        <v>171</v>
      </c>
      <c r="L4" s="27" t="s">
        <v>121</v>
      </c>
      <c r="M4" s="27">
        <v>0</v>
      </c>
      <c r="N4" s="27">
        <v>1</v>
      </c>
      <c r="O4" s="27">
        <v>0</v>
      </c>
      <c r="P4" s="27">
        <v>0</v>
      </c>
      <c r="Q4" s="20" t="s">
        <v>33</v>
      </c>
      <c r="R4" s="18">
        <v>1</v>
      </c>
      <c r="S4" s="18">
        <v>1</v>
      </c>
      <c r="T4" s="18">
        <v>0</v>
      </c>
      <c r="U4" s="18">
        <v>0</v>
      </c>
      <c r="V4" s="18">
        <v>1</v>
      </c>
      <c r="W4" s="18">
        <v>0</v>
      </c>
      <c r="X4" s="18">
        <v>0</v>
      </c>
      <c r="Y4" s="18">
        <v>0</v>
      </c>
      <c r="Z4" s="18">
        <v>0</v>
      </c>
      <c r="AA4" s="24">
        <v>11</v>
      </c>
      <c r="AB4" s="9" t="s">
        <v>14</v>
      </c>
      <c r="AC4" s="10" t="s">
        <v>15</v>
      </c>
      <c r="AD4" s="9" t="s">
        <v>14</v>
      </c>
      <c r="AE4" s="6" t="s">
        <v>16</v>
      </c>
    </row>
    <row r="5" spans="1:31" x14ac:dyDescent="0.25">
      <c r="A5" s="4" t="s">
        <v>34</v>
      </c>
      <c r="B5" s="5" t="s">
        <v>35</v>
      </c>
      <c r="C5" s="5" t="s">
        <v>36</v>
      </c>
      <c r="D5" s="5" t="s">
        <v>37</v>
      </c>
      <c r="E5" s="13">
        <v>122400</v>
      </c>
      <c r="F5" s="7">
        <f t="shared" si="0"/>
        <v>0</v>
      </c>
      <c r="G5" s="7">
        <f t="shared" si="1"/>
        <v>1</v>
      </c>
      <c r="H5" s="7">
        <f t="shared" si="2"/>
        <v>0</v>
      </c>
      <c r="I5" s="13">
        <v>1922</v>
      </c>
      <c r="J5" s="14">
        <v>105</v>
      </c>
      <c r="K5" s="14">
        <v>164</v>
      </c>
      <c r="L5" s="21" t="s">
        <v>120</v>
      </c>
      <c r="M5" s="21">
        <v>1</v>
      </c>
      <c r="N5" s="21">
        <v>0</v>
      </c>
      <c r="O5" s="21">
        <v>0</v>
      </c>
      <c r="P5" s="21">
        <v>0</v>
      </c>
      <c r="Q5" s="21" t="s">
        <v>38</v>
      </c>
      <c r="R5" s="19">
        <v>0</v>
      </c>
      <c r="S5" s="19">
        <v>1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24">
        <v>11</v>
      </c>
      <c r="AB5" s="12">
        <v>11</v>
      </c>
      <c r="AC5" s="10" t="s">
        <v>15</v>
      </c>
      <c r="AD5" s="10" t="s">
        <v>15</v>
      </c>
      <c r="AE5" s="6" t="s">
        <v>16</v>
      </c>
    </row>
    <row r="6" spans="1:31" x14ac:dyDescent="0.25">
      <c r="A6" s="4" t="s">
        <v>39</v>
      </c>
      <c r="B6" s="5" t="s">
        <v>40</v>
      </c>
      <c r="C6" s="5" t="s">
        <v>41</v>
      </c>
      <c r="D6" s="5" t="s">
        <v>42</v>
      </c>
      <c r="E6" s="7">
        <v>70000</v>
      </c>
      <c r="F6" s="7">
        <f t="shared" si="0"/>
        <v>1</v>
      </c>
      <c r="G6" s="7">
        <f t="shared" si="1"/>
        <v>1</v>
      </c>
      <c r="H6" s="7">
        <f t="shared" si="2"/>
        <v>0</v>
      </c>
      <c r="I6" s="8">
        <v>815</v>
      </c>
      <c r="J6" s="7">
        <v>1100</v>
      </c>
      <c r="K6" s="8">
        <v>280</v>
      </c>
      <c r="L6" s="20"/>
      <c r="M6" s="20">
        <v>0</v>
      </c>
      <c r="N6" s="20">
        <v>0</v>
      </c>
      <c r="O6" s="20">
        <v>0</v>
      </c>
      <c r="P6" s="20">
        <v>0</v>
      </c>
      <c r="Q6" s="20" t="s">
        <v>43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1</v>
      </c>
      <c r="X6" s="18">
        <v>1</v>
      </c>
      <c r="Y6" s="18">
        <v>0</v>
      </c>
      <c r="Z6" s="18">
        <v>0</v>
      </c>
      <c r="AA6" s="24">
        <v>11</v>
      </c>
      <c r="AB6" s="9" t="s">
        <v>14</v>
      </c>
      <c r="AC6" s="10" t="s">
        <v>15</v>
      </c>
      <c r="AD6" s="9" t="s">
        <v>14</v>
      </c>
      <c r="AE6" s="6" t="s">
        <v>16</v>
      </c>
    </row>
    <row r="7" spans="1:31" ht="39" x14ac:dyDescent="0.25">
      <c r="A7" s="4" t="s">
        <v>44</v>
      </c>
      <c r="B7" s="5" t="s">
        <v>45</v>
      </c>
      <c r="C7" s="5" t="s">
        <v>12</v>
      </c>
      <c r="D7" s="5" t="s">
        <v>13</v>
      </c>
      <c r="E7" s="7">
        <v>1032000</v>
      </c>
      <c r="F7" s="7">
        <f t="shared" si="0"/>
        <v>0</v>
      </c>
      <c r="G7" s="7">
        <f t="shared" si="1"/>
        <v>0</v>
      </c>
      <c r="H7" s="7">
        <f t="shared" si="2"/>
        <v>1</v>
      </c>
      <c r="I7" s="7">
        <v>7147</v>
      </c>
      <c r="J7" s="15">
        <v>1040.0999999999999</v>
      </c>
      <c r="K7" s="8">
        <v>479</v>
      </c>
      <c r="L7" s="27" t="s">
        <v>122</v>
      </c>
      <c r="M7" s="27">
        <v>0</v>
      </c>
      <c r="N7" s="27">
        <v>0</v>
      </c>
      <c r="O7" s="27">
        <v>1</v>
      </c>
      <c r="P7" s="27">
        <v>0</v>
      </c>
      <c r="Q7" s="20" t="s">
        <v>46</v>
      </c>
      <c r="R7" s="18">
        <v>1</v>
      </c>
      <c r="S7" s="18">
        <v>1</v>
      </c>
      <c r="T7" s="18">
        <v>1</v>
      </c>
      <c r="U7" s="18">
        <v>1</v>
      </c>
      <c r="V7" s="18">
        <v>0</v>
      </c>
      <c r="W7" s="18">
        <v>0</v>
      </c>
      <c r="X7" s="18">
        <v>1</v>
      </c>
      <c r="Y7" s="18">
        <v>0</v>
      </c>
      <c r="Z7" s="18">
        <v>0</v>
      </c>
      <c r="AA7" s="24">
        <v>11</v>
      </c>
      <c r="AB7" s="9" t="s">
        <v>14</v>
      </c>
      <c r="AC7" s="10" t="s">
        <v>15</v>
      </c>
      <c r="AD7" s="9" t="s">
        <v>14</v>
      </c>
      <c r="AE7" s="6" t="s">
        <v>16</v>
      </c>
    </row>
    <row r="8" spans="1:31" ht="39" x14ac:dyDescent="0.25">
      <c r="A8" s="4" t="s">
        <v>47</v>
      </c>
      <c r="B8" s="5" t="s">
        <v>48</v>
      </c>
      <c r="C8" s="5" t="s">
        <v>49</v>
      </c>
      <c r="D8" s="5" t="s">
        <v>50</v>
      </c>
      <c r="E8" s="7">
        <v>975000</v>
      </c>
      <c r="F8" s="7">
        <f t="shared" si="0"/>
        <v>0</v>
      </c>
      <c r="G8" s="7">
        <f t="shared" si="1"/>
        <v>1</v>
      </c>
      <c r="H8" s="7">
        <f t="shared" si="2"/>
        <v>0</v>
      </c>
      <c r="I8" s="7">
        <v>11450</v>
      </c>
      <c r="J8" s="7">
        <v>1885</v>
      </c>
      <c r="K8" s="8">
        <v>275</v>
      </c>
      <c r="L8" s="27" t="s">
        <v>123</v>
      </c>
      <c r="M8" s="27">
        <f>IF($L8="C",1,0)</f>
        <v>0</v>
      </c>
      <c r="N8" s="27">
        <f>IF($L8="S",1,0)</f>
        <v>0</v>
      </c>
      <c r="O8" s="27">
        <f>IF($L8="H",1,0)</f>
        <v>0</v>
      </c>
      <c r="P8" s="27">
        <f>IF($L8="I",1,0)</f>
        <v>1</v>
      </c>
      <c r="Q8" s="20" t="s">
        <v>28</v>
      </c>
      <c r="R8" s="18">
        <v>0</v>
      </c>
      <c r="S8" s="18">
        <v>0</v>
      </c>
      <c r="T8" s="18">
        <v>1</v>
      </c>
      <c r="U8" s="18">
        <v>1</v>
      </c>
      <c r="V8" s="18">
        <v>0</v>
      </c>
      <c r="W8" s="18">
        <v>0</v>
      </c>
      <c r="X8" s="18">
        <v>1</v>
      </c>
      <c r="Y8" s="18">
        <v>1</v>
      </c>
      <c r="Z8" s="18">
        <v>0</v>
      </c>
      <c r="AA8" s="24">
        <v>11</v>
      </c>
      <c r="AB8" s="9">
        <v>49</v>
      </c>
      <c r="AC8" s="10" t="s">
        <v>15</v>
      </c>
      <c r="AD8" s="10" t="s">
        <v>51</v>
      </c>
      <c r="AE8" s="6" t="s">
        <v>16</v>
      </c>
    </row>
    <row r="9" spans="1:31" ht="26.25" x14ac:dyDescent="0.25">
      <c r="A9" s="4" t="s">
        <v>52</v>
      </c>
      <c r="B9" s="5" t="s">
        <v>53</v>
      </c>
      <c r="C9" s="5" t="s">
        <v>54</v>
      </c>
      <c r="D9" s="5" t="s">
        <v>25</v>
      </c>
      <c r="E9" s="7">
        <v>90000</v>
      </c>
      <c r="F9" s="7">
        <f t="shared" si="0"/>
        <v>1</v>
      </c>
      <c r="G9" s="7">
        <f t="shared" si="1"/>
        <v>1</v>
      </c>
      <c r="H9" s="7">
        <f t="shared" si="2"/>
        <v>0</v>
      </c>
      <c r="I9" s="8">
        <v>0</v>
      </c>
      <c r="J9" s="8">
        <v>234</v>
      </c>
      <c r="K9" s="8">
        <v>184</v>
      </c>
      <c r="L9" s="27" t="s">
        <v>120</v>
      </c>
      <c r="M9" s="27">
        <f t="shared" ref="M9:M25" si="3">IF(L9="C",1,0)</f>
        <v>1</v>
      </c>
      <c r="N9" s="27">
        <f t="shared" ref="N9:N25" si="4">IF($L9="S",1,0)</f>
        <v>0</v>
      </c>
      <c r="O9" s="27">
        <f t="shared" ref="O9:O25" si="5">IF($L9="H",1,0)</f>
        <v>0</v>
      </c>
      <c r="P9" s="27">
        <f t="shared" ref="P9:P25" si="6">IF($L9="I",1,0)</f>
        <v>0</v>
      </c>
      <c r="Q9" s="20" t="s">
        <v>21</v>
      </c>
      <c r="R9" s="18">
        <v>1</v>
      </c>
      <c r="S9" s="18">
        <v>1</v>
      </c>
      <c r="T9" s="18">
        <v>1</v>
      </c>
      <c r="U9" s="18">
        <v>1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24">
        <v>11</v>
      </c>
      <c r="AB9" s="12">
        <v>11</v>
      </c>
      <c r="AC9" s="10" t="s">
        <v>15</v>
      </c>
      <c r="AD9" s="10" t="s">
        <v>15</v>
      </c>
      <c r="AE9" s="6" t="s">
        <v>16</v>
      </c>
    </row>
    <row r="10" spans="1:31" ht="26.25" x14ac:dyDescent="0.25">
      <c r="A10" s="4" t="s">
        <v>55</v>
      </c>
      <c r="B10" s="5" t="s">
        <v>56</v>
      </c>
      <c r="C10" s="5" t="s">
        <v>57</v>
      </c>
      <c r="D10" s="5" t="s">
        <v>58</v>
      </c>
      <c r="E10" s="7">
        <v>568000</v>
      </c>
      <c r="F10" s="7">
        <f t="shared" si="0"/>
        <v>0</v>
      </c>
      <c r="G10" s="7">
        <f t="shared" si="1"/>
        <v>1</v>
      </c>
      <c r="H10" s="7">
        <f t="shared" si="2"/>
        <v>0</v>
      </c>
      <c r="I10" s="7">
        <v>11400</v>
      </c>
      <c r="J10" s="7">
        <v>2074</v>
      </c>
      <c r="K10" s="8">
        <v>185</v>
      </c>
      <c r="L10" s="27" t="s">
        <v>120</v>
      </c>
      <c r="M10" s="27">
        <f t="shared" si="3"/>
        <v>1</v>
      </c>
      <c r="N10" s="27">
        <f t="shared" si="4"/>
        <v>0</v>
      </c>
      <c r="O10" s="27">
        <f t="shared" si="5"/>
        <v>0</v>
      </c>
      <c r="P10" s="27">
        <f t="shared" si="6"/>
        <v>0</v>
      </c>
      <c r="Q10" s="20" t="s">
        <v>59</v>
      </c>
      <c r="R10" s="18">
        <v>0</v>
      </c>
      <c r="S10" s="18">
        <v>0</v>
      </c>
      <c r="T10" s="18">
        <v>1</v>
      </c>
      <c r="U10" s="18">
        <v>1</v>
      </c>
      <c r="V10" s="18">
        <v>0</v>
      </c>
      <c r="W10" s="18">
        <v>0</v>
      </c>
      <c r="X10" s="18">
        <v>0</v>
      </c>
      <c r="Y10" s="18">
        <v>1</v>
      </c>
      <c r="Z10" s="18">
        <v>0</v>
      </c>
      <c r="AA10" s="24">
        <v>11</v>
      </c>
      <c r="AB10" s="12">
        <v>11</v>
      </c>
      <c r="AC10" s="10" t="s">
        <v>15</v>
      </c>
      <c r="AD10" s="10" t="s">
        <v>15</v>
      </c>
      <c r="AE10" s="6" t="s">
        <v>16</v>
      </c>
    </row>
    <row r="11" spans="1:31" x14ac:dyDescent="0.25">
      <c r="A11" s="4" t="s">
        <v>60</v>
      </c>
      <c r="B11" s="5" t="s">
        <v>61</v>
      </c>
      <c r="C11" s="5" t="s">
        <v>62</v>
      </c>
      <c r="D11" s="5" t="s">
        <v>63</v>
      </c>
      <c r="E11" s="13">
        <v>23772</v>
      </c>
      <c r="F11" s="7">
        <f t="shared" si="0"/>
        <v>1</v>
      </c>
      <c r="G11" s="7">
        <f t="shared" si="1"/>
        <v>1</v>
      </c>
      <c r="H11" s="7">
        <f t="shared" si="2"/>
        <v>0</v>
      </c>
      <c r="I11" s="14">
        <v>640</v>
      </c>
      <c r="J11" s="14">
        <v>0</v>
      </c>
      <c r="K11" s="14">
        <v>118</v>
      </c>
      <c r="L11" s="19" t="s">
        <v>123</v>
      </c>
      <c r="M11" s="27">
        <f t="shared" si="3"/>
        <v>0</v>
      </c>
      <c r="N11" s="27">
        <f t="shared" si="4"/>
        <v>0</v>
      </c>
      <c r="O11" s="27">
        <f t="shared" si="5"/>
        <v>0</v>
      </c>
      <c r="P11" s="27">
        <f t="shared" si="6"/>
        <v>1</v>
      </c>
      <c r="Q11" s="22" t="s">
        <v>14</v>
      </c>
      <c r="R11" s="26">
        <v>0</v>
      </c>
      <c r="S11" s="26">
        <v>0</v>
      </c>
      <c r="T11" s="26">
        <v>0</v>
      </c>
      <c r="U11" s="26">
        <v>0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4">
        <v>11</v>
      </c>
      <c r="AB11" s="9" t="s">
        <v>14</v>
      </c>
      <c r="AC11" s="10" t="s">
        <v>15</v>
      </c>
      <c r="AD11" s="9" t="s">
        <v>14</v>
      </c>
      <c r="AE11" s="6" t="s">
        <v>16</v>
      </c>
    </row>
    <row r="12" spans="1:31" x14ac:dyDescent="0.25">
      <c r="A12" s="4" t="s">
        <v>64</v>
      </c>
      <c r="B12" s="5" t="s">
        <v>65</v>
      </c>
      <c r="C12" s="5" t="s">
        <v>26</v>
      </c>
      <c r="D12" s="5" t="s">
        <v>27</v>
      </c>
      <c r="E12" s="13">
        <v>14660</v>
      </c>
      <c r="F12" s="7">
        <f t="shared" si="0"/>
        <v>1</v>
      </c>
      <c r="G12" s="7">
        <f t="shared" si="1"/>
        <v>1</v>
      </c>
      <c r="H12" s="7">
        <f t="shared" si="2"/>
        <v>0</v>
      </c>
      <c r="I12" s="14">
        <v>750</v>
      </c>
      <c r="J12" s="14">
        <v>31</v>
      </c>
      <c r="K12" s="14">
        <v>73</v>
      </c>
      <c r="L12" s="19" t="s">
        <v>123</v>
      </c>
      <c r="M12" s="27">
        <f t="shared" si="3"/>
        <v>0</v>
      </c>
      <c r="N12" s="27">
        <f t="shared" si="4"/>
        <v>0</v>
      </c>
      <c r="O12" s="27">
        <f t="shared" si="5"/>
        <v>0</v>
      </c>
      <c r="P12" s="27">
        <f t="shared" si="6"/>
        <v>1</v>
      </c>
      <c r="Q12" s="22" t="s">
        <v>14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4">
        <v>11</v>
      </c>
      <c r="AB12" s="9" t="s">
        <v>14</v>
      </c>
      <c r="AC12" s="10" t="s">
        <v>15</v>
      </c>
      <c r="AD12" s="9" t="s">
        <v>14</v>
      </c>
      <c r="AE12" s="6" t="s">
        <v>16</v>
      </c>
    </row>
    <row r="13" spans="1:31" ht="26.25" x14ac:dyDescent="0.25">
      <c r="A13" s="4" t="s">
        <v>67</v>
      </c>
      <c r="B13" s="5" t="s">
        <v>68</v>
      </c>
      <c r="C13" s="5" t="s">
        <v>69</v>
      </c>
      <c r="D13" s="5" t="s">
        <v>70</v>
      </c>
      <c r="E13" s="7">
        <v>520500</v>
      </c>
      <c r="F13" s="7">
        <f t="shared" si="0"/>
        <v>0</v>
      </c>
      <c r="G13" s="7">
        <f t="shared" si="1"/>
        <v>1</v>
      </c>
      <c r="H13" s="7">
        <f t="shared" si="2"/>
        <v>0</v>
      </c>
      <c r="I13" s="7">
        <v>4900</v>
      </c>
      <c r="J13" s="7">
        <v>1675</v>
      </c>
      <c r="K13" s="8">
        <v>299</v>
      </c>
      <c r="L13" s="27" t="s">
        <v>123</v>
      </c>
      <c r="M13" s="27">
        <f t="shared" si="3"/>
        <v>0</v>
      </c>
      <c r="N13" s="27">
        <f t="shared" si="4"/>
        <v>0</v>
      </c>
      <c r="O13" s="27">
        <f t="shared" si="5"/>
        <v>0</v>
      </c>
      <c r="P13" s="27">
        <f t="shared" si="6"/>
        <v>1</v>
      </c>
      <c r="Q13" s="20" t="s">
        <v>21</v>
      </c>
      <c r="R13" s="18">
        <v>1</v>
      </c>
      <c r="S13" s="18">
        <v>1</v>
      </c>
      <c r="T13" s="18">
        <v>1</v>
      </c>
      <c r="U13" s="18">
        <v>1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24">
        <v>11</v>
      </c>
      <c r="AB13" s="12">
        <v>5</v>
      </c>
      <c r="AC13" s="10" t="s">
        <v>15</v>
      </c>
      <c r="AD13" s="9" t="s">
        <v>14</v>
      </c>
      <c r="AE13" s="6" t="s">
        <v>16</v>
      </c>
    </row>
    <row r="14" spans="1:31" x14ac:dyDescent="0.25">
      <c r="A14" s="4" t="s">
        <v>71</v>
      </c>
      <c r="B14" s="5" t="s">
        <v>72</v>
      </c>
      <c r="C14" s="5" t="s">
        <v>49</v>
      </c>
      <c r="D14" s="5" t="s">
        <v>50</v>
      </c>
      <c r="E14" s="16">
        <v>9000</v>
      </c>
      <c r="F14" s="7">
        <f t="shared" si="0"/>
        <v>1</v>
      </c>
      <c r="G14" s="7">
        <f t="shared" si="1"/>
        <v>1</v>
      </c>
      <c r="H14" s="7">
        <f t="shared" si="2"/>
        <v>0</v>
      </c>
      <c r="I14" s="9" t="s">
        <v>14</v>
      </c>
      <c r="J14" s="9" t="s">
        <v>14</v>
      </c>
      <c r="K14" s="9" t="s">
        <v>14</v>
      </c>
      <c r="L14" s="22" t="s">
        <v>122</v>
      </c>
      <c r="M14" s="27">
        <f t="shared" si="3"/>
        <v>0</v>
      </c>
      <c r="N14" s="27">
        <f t="shared" si="4"/>
        <v>0</v>
      </c>
      <c r="O14" s="27">
        <f t="shared" si="5"/>
        <v>1</v>
      </c>
      <c r="P14" s="27">
        <f t="shared" si="6"/>
        <v>0</v>
      </c>
      <c r="Q14" s="22" t="s">
        <v>14</v>
      </c>
      <c r="R14" s="26">
        <v>0</v>
      </c>
      <c r="S14" s="26">
        <v>0</v>
      </c>
      <c r="T14" s="26">
        <v>0</v>
      </c>
      <c r="U14" s="26">
        <v>0</v>
      </c>
      <c r="V14" s="26">
        <v>0</v>
      </c>
      <c r="W14" s="26">
        <v>0</v>
      </c>
      <c r="X14" s="26">
        <v>0</v>
      </c>
      <c r="Y14" s="26">
        <v>0</v>
      </c>
      <c r="Z14" s="26">
        <v>0</v>
      </c>
      <c r="AA14" s="24">
        <v>11</v>
      </c>
      <c r="AB14" s="9" t="s">
        <v>14</v>
      </c>
      <c r="AC14" s="10" t="s">
        <v>15</v>
      </c>
      <c r="AD14" s="9" t="s">
        <v>14</v>
      </c>
      <c r="AE14" s="6" t="s">
        <v>16</v>
      </c>
    </row>
    <row r="15" spans="1:31" ht="51.75" x14ac:dyDescent="0.25">
      <c r="A15" s="4" t="s">
        <v>73</v>
      </c>
      <c r="B15" s="5" t="s">
        <v>74</v>
      </c>
      <c r="C15" s="5" t="s">
        <v>75</v>
      </c>
      <c r="D15" s="5" t="s">
        <v>76</v>
      </c>
      <c r="E15" s="7">
        <v>317000</v>
      </c>
      <c r="F15" s="7">
        <f t="shared" si="0"/>
        <v>0</v>
      </c>
      <c r="G15" s="7">
        <f t="shared" si="1"/>
        <v>1</v>
      </c>
      <c r="H15" s="7">
        <f t="shared" si="2"/>
        <v>0</v>
      </c>
      <c r="I15" s="7">
        <v>4410</v>
      </c>
      <c r="J15" s="8">
        <v>363</v>
      </c>
      <c r="K15" s="8">
        <v>210</v>
      </c>
      <c r="L15" s="27" t="s">
        <v>120</v>
      </c>
      <c r="M15" s="27">
        <f t="shared" si="3"/>
        <v>1</v>
      </c>
      <c r="N15" s="27">
        <f t="shared" si="4"/>
        <v>0</v>
      </c>
      <c r="O15" s="27">
        <f t="shared" si="5"/>
        <v>0</v>
      </c>
      <c r="P15" s="27">
        <f t="shared" si="6"/>
        <v>0</v>
      </c>
      <c r="Q15" s="20" t="s">
        <v>77</v>
      </c>
      <c r="R15" s="18">
        <v>1</v>
      </c>
      <c r="S15" s="18">
        <v>1</v>
      </c>
      <c r="T15" s="18">
        <v>1</v>
      </c>
      <c r="U15" s="18">
        <v>1</v>
      </c>
      <c r="V15" s="18">
        <v>1</v>
      </c>
      <c r="W15" s="18">
        <v>0</v>
      </c>
      <c r="X15" s="18">
        <v>0</v>
      </c>
      <c r="Y15" s="18">
        <v>0</v>
      </c>
      <c r="Z15" s="18">
        <v>0</v>
      </c>
      <c r="AA15" s="24">
        <v>11</v>
      </c>
      <c r="AB15" s="9" t="s">
        <v>14</v>
      </c>
      <c r="AC15" s="10" t="s">
        <v>15</v>
      </c>
      <c r="AD15" s="9" t="s">
        <v>14</v>
      </c>
      <c r="AE15" s="6" t="s">
        <v>16</v>
      </c>
    </row>
    <row r="16" spans="1:31" ht="51.75" x14ac:dyDescent="0.25">
      <c r="A16" s="4" t="s">
        <v>78</v>
      </c>
      <c r="B16" s="5" t="s">
        <v>79</v>
      </c>
      <c r="C16" s="5" t="s">
        <v>80</v>
      </c>
      <c r="D16" s="5" t="s">
        <v>76</v>
      </c>
      <c r="E16" s="7">
        <v>2400000</v>
      </c>
      <c r="F16" s="7">
        <f t="shared" si="0"/>
        <v>0</v>
      </c>
      <c r="G16" s="7">
        <f t="shared" si="1"/>
        <v>0</v>
      </c>
      <c r="H16" s="7">
        <f t="shared" si="2"/>
        <v>1</v>
      </c>
      <c r="I16" s="7">
        <v>12500</v>
      </c>
      <c r="J16" s="8">
        <v>900</v>
      </c>
      <c r="K16" s="8">
        <v>578</v>
      </c>
      <c r="L16" s="27" t="s">
        <v>123</v>
      </c>
      <c r="M16" s="27">
        <f t="shared" si="3"/>
        <v>0</v>
      </c>
      <c r="N16" s="27">
        <f t="shared" si="4"/>
        <v>0</v>
      </c>
      <c r="O16" s="27">
        <f t="shared" si="5"/>
        <v>0</v>
      </c>
      <c r="P16" s="27">
        <f t="shared" si="6"/>
        <v>1</v>
      </c>
      <c r="Q16" s="20" t="s">
        <v>81</v>
      </c>
      <c r="R16" s="18">
        <v>0</v>
      </c>
      <c r="S16" s="18">
        <v>0</v>
      </c>
      <c r="T16" s="18">
        <v>1</v>
      </c>
      <c r="U16" s="18">
        <v>1</v>
      </c>
      <c r="V16" s="18">
        <v>1</v>
      </c>
      <c r="W16" s="18">
        <v>0</v>
      </c>
      <c r="X16" s="18">
        <v>1</v>
      </c>
      <c r="Y16" s="18">
        <v>0</v>
      </c>
      <c r="Z16" s="18">
        <v>0</v>
      </c>
      <c r="AA16" s="24">
        <v>11</v>
      </c>
      <c r="AB16" s="12">
        <v>11</v>
      </c>
      <c r="AC16" s="10" t="s">
        <v>15</v>
      </c>
      <c r="AD16" s="10" t="s">
        <v>15</v>
      </c>
      <c r="AE16" s="6" t="s">
        <v>16</v>
      </c>
    </row>
    <row r="17" spans="1:31" ht="51.75" x14ac:dyDescent="0.25">
      <c r="A17" s="4" t="s">
        <v>82</v>
      </c>
      <c r="B17" s="5" t="s">
        <v>83</v>
      </c>
      <c r="C17" s="5" t="s">
        <v>84</v>
      </c>
      <c r="D17" s="5" t="s">
        <v>85</v>
      </c>
      <c r="E17" s="7">
        <v>3537577</v>
      </c>
      <c r="F17" s="7">
        <f t="shared" si="0"/>
        <v>0</v>
      </c>
      <c r="G17" s="7">
        <f t="shared" si="1"/>
        <v>0</v>
      </c>
      <c r="H17" s="7">
        <f t="shared" si="2"/>
        <v>1</v>
      </c>
      <c r="I17" s="7">
        <v>15805</v>
      </c>
      <c r="J17" s="7">
        <v>3607</v>
      </c>
      <c r="K17" s="8">
        <v>742</v>
      </c>
      <c r="L17" s="27" t="s">
        <v>120</v>
      </c>
      <c r="M17" s="27">
        <f t="shared" si="3"/>
        <v>1</v>
      </c>
      <c r="N17" s="27">
        <f t="shared" si="4"/>
        <v>0</v>
      </c>
      <c r="O17" s="27">
        <f t="shared" si="5"/>
        <v>0</v>
      </c>
      <c r="P17" s="27">
        <f t="shared" si="6"/>
        <v>0</v>
      </c>
      <c r="Q17" s="20" t="s">
        <v>86</v>
      </c>
      <c r="R17" s="18">
        <v>0</v>
      </c>
      <c r="S17" s="18">
        <v>0</v>
      </c>
      <c r="T17" s="18">
        <v>1</v>
      </c>
      <c r="U17" s="18">
        <v>0</v>
      </c>
      <c r="V17" s="18">
        <v>1</v>
      </c>
      <c r="W17" s="18">
        <v>0</v>
      </c>
      <c r="X17" s="18">
        <v>1</v>
      </c>
      <c r="Y17" s="18">
        <v>1</v>
      </c>
      <c r="Z17" s="18">
        <v>0</v>
      </c>
      <c r="AA17" s="24">
        <v>11</v>
      </c>
      <c r="AB17" s="12">
        <v>11</v>
      </c>
      <c r="AC17" s="10" t="s">
        <v>15</v>
      </c>
      <c r="AD17" s="10" t="s">
        <v>15</v>
      </c>
      <c r="AE17" s="6" t="s">
        <v>16</v>
      </c>
    </row>
    <row r="18" spans="1:31" ht="39" x14ac:dyDescent="0.25">
      <c r="A18" s="4" t="s">
        <v>87</v>
      </c>
      <c r="B18" s="5" t="s">
        <v>88</v>
      </c>
      <c r="C18" s="5" t="s">
        <v>31</v>
      </c>
      <c r="D18" s="5" t="s">
        <v>76</v>
      </c>
      <c r="E18" s="7">
        <v>210000</v>
      </c>
      <c r="F18" s="7">
        <f t="shared" si="0"/>
        <v>0</v>
      </c>
      <c r="G18" s="7">
        <f t="shared" si="1"/>
        <v>1</v>
      </c>
      <c r="H18" s="7">
        <f t="shared" si="2"/>
        <v>0</v>
      </c>
      <c r="I18" s="7">
        <v>2134</v>
      </c>
      <c r="J18" s="8">
        <v>575</v>
      </c>
      <c r="K18" s="8">
        <v>345</v>
      </c>
      <c r="L18" s="27" t="s">
        <v>121</v>
      </c>
      <c r="M18" s="27">
        <f t="shared" si="3"/>
        <v>0</v>
      </c>
      <c r="N18" s="27">
        <f t="shared" si="4"/>
        <v>1</v>
      </c>
      <c r="O18" s="27">
        <f t="shared" si="5"/>
        <v>0</v>
      </c>
      <c r="P18" s="27">
        <f t="shared" si="6"/>
        <v>0</v>
      </c>
      <c r="Q18" s="20" t="s">
        <v>89</v>
      </c>
      <c r="R18" s="18">
        <v>1</v>
      </c>
      <c r="S18" s="18">
        <v>0</v>
      </c>
      <c r="T18" s="18">
        <v>0</v>
      </c>
      <c r="U18" s="18">
        <v>0</v>
      </c>
      <c r="V18" s="18">
        <v>1</v>
      </c>
      <c r="W18" s="18">
        <v>0</v>
      </c>
      <c r="X18" s="18">
        <v>1</v>
      </c>
      <c r="Y18" s="18">
        <v>0</v>
      </c>
      <c r="Z18" s="18">
        <v>1</v>
      </c>
      <c r="AA18" s="24">
        <v>11</v>
      </c>
      <c r="AB18" s="9" t="s">
        <v>14</v>
      </c>
      <c r="AC18" s="10" t="s">
        <v>15</v>
      </c>
      <c r="AD18" s="9" t="s">
        <v>14</v>
      </c>
      <c r="AE18" s="6" t="s">
        <v>16</v>
      </c>
    </row>
    <row r="19" spans="1:31" ht="26.25" x14ac:dyDescent="0.25">
      <c r="A19" s="4" t="s">
        <v>90</v>
      </c>
      <c r="B19" s="5" t="s">
        <v>91</v>
      </c>
      <c r="C19" s="5" t="s">
        <v>92</v>
      </c>
      <c r="D19" s="5" t="s">
        <v>70</v>
      </c>
      <c r="E19" s="7">
        <v>1000000</v>
      </c>
      <c r="F19" s="7">
        <f t="shared" si="0"/>
        <v>0</v>
      </c>
      <c r="G19" s="7">
        <f t="shared" si="1"/>
        <v>0</v>
      </c>
      <c r="H19" s="7">
        <f t="shared" si="2"/>
        <v>1</v>
      </c>
      <c r="I19" s="7">
        <v>5970</v>
      </c>
      <c r="J19" s="7">
        <v>1545</v>
      </c>
      <c r="K19" s="8">
        <v>440</v>
      </c>
      <c r="L19" s="27" t="s">
        <v>120</v>
      </c>
      <c r="M19" s="27">
        <f t="shared" si="3"/>
        <v>1</v>
      </c>
      <c r="N19" s="27">
        <f t="shared" si="4"/>
        <v>0</v>
      </c>
      <c r="O19" s="27">
        <f t="shared" si="5"/>
        <v>0</v>
      </c>
      <c r="P19" s="27">
        <f t="shared" si="6"/>
        <v>0</v>
      </c>
      <c r="Q19" s="20" t="s">
        <v>59</v>
      </c>
      <c r="R19" s="18">
        <v>0</v>
      </c>
      <c r="S19" s="18">
        <v>0</v>
      </c>
      <c r="T19" s="18">
        <v>1</v>
      </c>
      <c r="U19" s="18">
        <v>1</v>
      </c>
      <c r="V19" s="18">
        <v>0</v>
      </c>
      <c r="W19" s="18">
        <v>0</v>
      </c>
      <c r="X19" s="18">
        <v>0</v>
      </c>
      <c r="Y19" s="18">
        <v>1</v>
      </c>
      <c r="Z19" s="18">
        <v>0</v>
      </c>
      <c r="AA19" s="24">
        <v>11</v>
      </c>
      <c r="AB19" s="12">
        <v>11</v>
      </c>
      <c r="AC19" s="10" t="s">
        <v>15</v>
      </c>
      <c r="AD19" s="10" t="s">
        <v>15</v>
      </c>
      <c r="AE19" s="6" t="s">
        <v>16</v>
      </c>
    </row>
    <row r="20" spans="1:31" x14ac:dyDescent="0.25">
      <c r="A20" s="4" t="s">
        <v>93</v>
      </c>
      <c r="B20" s="5" t="s">
        <v>94</v>
      </c>
      <c r="C20" s="5" t="s">
        <v>95</v>
      </c>
      <c r="D20" s="5" t="s">
        <v>96</v>
      </c>
      <c r="E20" s="13">
        <v>82300</v>
      </c>
      <c r="F20" s="7">
        <f t="shared" si="0"/>
        <v>1</v>
      </c>
      <c r="G20" s="7">
        <f t="shared" si="1"/>
        <v>1</v>
      </c>
      <c r="H20" s="7">
        <f t="shared" si="2"/>
        <v>0</v>
      </c>
      <c r="I20" s="13">
        <v>2450</v>
      </c>
      <c r="J20" s="14">
        <v>393</v>
      </c>
      <c r="K20" s="14">
        <v>156</v>
      </c>
      <c r="L20" s="21" t="s">
        <v>120</v>
      </c>
      <c r="M20" s="27">
        <f t="shared" si="3"/>
        <v>1</v>
      </c>
      <c r="N20" s="27">
        <f t="shared" si="4"/>
        <v>0</v>
      </c>
      <c r="O20" s="27">
        <f t="shared" si="5"/>
        <v>0</v>
      </c>
      <c r="P20" s="27">
        <f t="shared" si="6"/>
        <v>0</v>
      </c>
      <c r="Q20" s="21" t="s">
        <v>38</v>
      </c>
      <c r="R20" s="19">
        <v>0</v>
      </c>
      <c r="S20" s="19">
        <v>1</v>
      </c>
      <c r="T20" s="19">
        <v>0</v>
      </c>
      <c r="U20" s="19">
        <v>0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24">
        <v>11</v>
      </c>
      <c r="AB20" s="12">
        <v>11</v>
      </c>
      <c r="AC20" s="10" t="s">
        <v>15</v>
      </c>
      <c r="AD20" s="10" t="s">
        <v>15</v>
      </c>
      <c r="AE20" s="6" t="s">
        <v>16</v>
      </c>
    </row>
    <row r="21" spans="1:31" ht="39" x14ac:dyDescent="0.25">
      <c r="A21" s="4" t="s">
        <v>97</v>
      </c>
      <c r="B21" s="5" t="s">
        <v>98</v>
      </c>
      <c r="C21" s="5" t="s">
        <v>62</v>
      </c>
      <c r="D21" s="5" t="s">
        <v>63</v>
      </c>
      <c r="E21" s="7">
        <v>4552000</v>
      </c>
      <c r="F21" s="7">
        <f t="shared" si="0"/>
        <v>0</v>
      </c>
      <c r="G21" s="7">
        <f t="shared" si="1"/>
        <v>0</v>
      </c>
      <c r="H21" s="7">
        <f t="shared" si="2"/>
        <v>1</v>
      </c>
      <c r="I21" s="7">
        <v>29740</v>
      </c>
      <c r="J21" s="7">
        <v>6665</v>
      </c>
      <c r="K21" s="8">
        <v>521</v>
      </c>
      <c r="L21" s="27" t="s">
        <v>123</v>
      </c>
      <c r="M21" s="27">
        <f t="shared" si="3"/>
        <v>0</v>
      </c>
      <c r="N21" s="27">
        <f t="shared" si="4"/>
        <v>0</v>
      </c>
      <c r="O21" s="27">
        <f t="shared" si="5"/>
        <v>0</v>
      </c>
      <c r="P21" s="27">
        <f t="shared" si="6"/>
        <v>1</v>
      </c>
      <c r="Q21" s="20" t="s">
        <v>28</v>
      </c>
      <c r="R21" s="18">
        <v>0</v>
      </c>
      <c r="S21" s="18">
        <v>0</v>
      </c>
      <c r="T21" s="18">
        <v>1</v>
      </c>
      <c r="U21" s="18">
        <v>1</v>
      </c>
      <c r="V21" s="18">
        <v>0</v>
      </c>
      <c r="W21" s="18">
        <v>0</v>
      </c>
      <c r="X21" s="18">
        <v>1</v>
      </c>
      <c r="Y21" s="18">
        <v>1</v>
      </c>
      <c r="Z21" s="18">
        <v>0</v>
      </c>
      <c r="AA21" s="24">
        <v>11</v>
      </c>
      <c r="AB21" s="12">
        <v>11</v>
      </c>
      <c r="AC21" s="10" t="s">
        <v>15</v>
      </c>
      <c r="AD21" s="10" t="s">
        <v>15</v>
      </c>
      <c r="AE21" s="6" t="s">
        <v>16</v>
      </c>
    </row>
    <row r="22" spans="1:31" ht="26.25" x14ac:dyDescent="0.25">
      <c r="A22" s="4" t="s">
        <v>99</v>
      </c>
      <c r="B22" s="5" t="s">
        <v>100</v>
      </c>
      <c r="C22" s="5" t="s">
        <v>101</v>
      </c>
      <c r="D22" s="5" t="s">
        <v>96</v>
      </c>
      <c r="E22" s="7">
        <v>185600</v>
      </c>
      <c r="F22" s="7">
        <f t="shared" si="0"/>
        <v>0</v>
      </c>
      <c r="G22" s="7">
        <f t="shared" si="1"/>
        <v>1</v>
      </c>
      <c r="H22" s="7">
        <f t="shared" si="2"/>
        <v>0</v>
      </c>
      <c r="I22" s="7">
        <v>1945</v>
      </c>
      <c r="J22" s="8">
        <v>561</v>
      </c>
      <c r="K22" s="8">
        <v>255</v>
      </c>
      <c r="L22" s="27" t="s">
        <v>120</v>
      </c>
      <c r="M22" s="27">
        <f t="shared" si="3"/>
        <v>1</v>
      </c>
      <c r="N22" s="27">
        <f t="shared" si="4"/>
        <v>0</v>
      </c>
      <c r="O22" s="27">
        <f t="shared" si="5"/>
        <v>0</v>
      </c>
      <c r="P22" s="27">
        <f t="shared" si="6"/>
        <v>0</v>
      </c>
      <c r="Q22" s="20" t="s">
        <v>59</v>
      </c>
      <c r="R22" s="18">
        <v>0</v>
      </c>
      <c r="S22" s="18">
        <v>0</v>
      </c>
      <c r="T22" s="18">
        <v>1</v>
      </c>
      <c r="U22" s="18">
        <v>1</v>
      </c>
      <c r="V22" s="18">
        <v>0</v>
      </c>
      <c r="W22" s="18">
        <v>0</v>
      </c>
      <c r="X22" s="18">
        <v>0</v>
      </c>
      <c r="Y22" s="18">
        <v>1</v>
      </c>
      <c r="Z22" s="18">
        <v>0</v>
      </c>
      <c r="AA22" s="24">
        <v>11</v>
      </c>
      <c r="AB22" s="12">
        <v>11</v>
      </c>
      <c r="AC22" s="10" t="s">
        <v>15</v>
      </c>
      <c r="AD22" s="10" t="s">
        <v>15</v>
      </c>
      <c r="AE22" s="6" t="s">
        <v>16</v>
      </c>
    </row>
    <row r="23" spans="1:31" ht="39" x14ac:dyDescent="0.25">
      <c r="A23" s="4" t="s">
        <v>102</v>
      </c>
      <c r="B23" s="5" t="s">
        <v>103</v>
      </c>
      <c r="C23" s="5" t="s">
        <v>80</v>
      </c>
      <c r="D23" s="5" t="s">
        <v>76</v>
      </c>
      <c r="E23" s="7">
        <v>68400</v>
      </c>
      <c r="F23" s="7">
        <f t="shared" si="0"/>
        <v>1</v>
      </c>
      <c r="G23" s="7">
        <f t="shared" si="1"/>
        <v>1</v>
      </c>
      <c r="H23" s="7">
        <f t="shared" si="2"/>
        <v>0</v>
      </c>
      <c r="I23" s="7">
        <v>1260</v>
      </c>
      <c r="J23" s="8">
        <v>971</v>
      </c>
      <c r="K23" s="8">
        <v>205</v>
      </c>
      <c r="L23" s="27" t="s">
        <v>122</v>
      </c>
      <c r="M23" s="27">
        <f t="shared" si="3"/>
        <v>0</v>
      </c>
      <c r="N23" s="27">
        <f t="shared" si="4"/>
        <v>0</v>
      </c>
      <c r="O23" s="27">
        <f t="shared" si="5"/>
        <v>1</v>
      </c>
      <c r="P23" s="27">
        <f t="shared" si="6"/>
        <v>0</v>
      </c>
      <c r="Q23" s="20" t="s">
        <v>104</v>
      </c>
      <c r="R23" s="18">
        <v>1</v>
      </c>
      <c r="S23" s="18">
        <v>0</v>
      </c>
      <c r="T23" s="18">
        <v>1</v>
      </c>
      <c r="U23" s="18">
        <v>1</v>
      </c>
      <c r="V23" s="18">
        <v>0</v>
      </c>
      <c r="W23" s="18">
        <v>0</v>
      </c>
      <c r="X23" s="18">
        <v>1</v>
      </c>
      <c r="Y23" s="18">
        <v>0</v>
      </c>
      <c r="Z23" s="18">
        <v>0</v>
      </c>
      <c r="AA23" s="24">
        <v>11</v>
      </c>
      <c r="AB23" s="12">
        <v>5</v>
      </c>
      <c r="AC23" s="10" t="s">
        <v>15</v>
      </c>
      <c r="AD23" s="17" t="s">
        <v>66</v>
      </c>
      <c r="AE23" s="6" t="s">
        <v>16</v>
      </c>
    </row>
    <row r="24" spans="1:31" ht="51.75" x14ac:dyDescent="0.25">
      <c r="A24" s="4" t="s">
        <v>105</v>
      </c>
      <c r="B24" s="5" t="s">
        <v>106</v>
      </c>
      <c r="C24" s="5" t="s">
        <v>62</v>
      </c>
      <c r="D24" s="5" t="s">
        <v>63</v>
      </c>
      <c r="E24" s="7">
        <v>241100</v>
      </c>
      <c r="F24" s="7">
        <f t="shared" si="0"/>
        <v>0</v>
      </c>
      <c r="G24" s="7">
        <f t="shared" si="1"/>
        <v>1</v>
      </c>
      <c r="H24" s="7">
        <f t="shared" si="2"/>
        <v>0</v>
      </c>
      <c r="I24" s="7">
        <v>3220</v>
      </c>
      <c r="J24" s="8">
        <v>201</v>
      </c>
      <c r="K24" s="8">
        <v>263</v>
      </c>
      <c r="L24" s="27" t="s">
        <v>122</v>
      </c>
      <c r="M24" s="27">
        <f t="shared" si="3"/>
        <v>0</v>
      </c>
      <c r="N24" s="27">
        <f t="shared" si="4"/>
        <v>0</v>
      </c>
      <c r="O24" s="27">
        <f t="shared" si="5"/>
        <v>1</v>
      </c>
      <c r="P24" s="27">
        <f t="shared" si="6"/>
        <v>0</v>
      </c>
      <c r="Q24" s="20" t="s">
        <v>86</v>
      </c>
      <c r="R24" s="18">
        <v>0</v>
      </c>
      <c r="S24" s="18">
        <v>0</v>
      </c>
      <c r="T24" s="18">
        <v>1</v>
      </c>
      <c r="U24" s="18">
        <v>0</v>
      </c>
      <c r="V24" s="18">
        <v>1</v>
      </c>
      <c r="W24" s="18">
        <v>0</v>
      </c>
      <c r="X24" s="18">
        <v>1</v>
      </c>
      <c r="Y24" s="18">
        <v>1</v>
      </c>
      <c r="Z24" s="18">
        <v>0</v>
      </c>
      <c r="AA24" s="24">
        <v>11</v>
      </c>
      <c r="AB24" s="12">
        <v>11</v>
      </c>
      <c r="AC24" s="10" t="s">
        <v>15</v>
      </c>
      <c r="AD24" s="10" t="s">
        <v>15</v>
      </c>
      <c r="AE24" s="6" t="s">
        <v>16</v>
      </c>
    </row>
    <row r="25" spans="1:31" ht="26.25" x14ac:dyDescent="0.25">
      <c r="A25" s="4" t="s">
        <v>107</v>
      </c>
      <c r="B25" s="5" t="s">
        <v>108</v>
      </c>
      <c r="C25" s="5" t="s">
        <v>36</v>
      </c>
      <c r="D25" s="5" t="s">
        <v>109</v>
      </c>
      <c r="E25" s="7">
        <v>381000</v>
      </c>
      <c r="F25" s="7">
        <f t="shared" si="0"/>
        <v>0</v>
      </c>
      <c r="G25" s="7">
        <f t="shared" si="1"/>
        <v>1</v>
      </c>
      <c r="H25" s="7">
        <f t="shared" si="2"/>
        <v>0</v>
      </c>
      <c r="I25" s="7">
        <v>3600</v>
      </c>
      <c r="J25" s="8">
        <v>130</v>
      </c>
      <c r="K25" s="8">
        <v>319</v>
      </c>
      <c r="L25" s="27" t="s">
        <v>120</v>
      </c>
      <c r="M25" s="27">
        <f t="shared" si="3"/>
        <v>1</v>
      </c>
      <c r="N25" s="27">
        <f t="shared" si="4"/>
        <v>0</v>
      </c>
      <c r="O25" s="27">
        <f t="shared" si="5"/>
        <v>0</v>
      </c>
      <c r="P25" s="27">
        <f t="shared" si="6"/>
        <v>0</v>
      </c>
      <c r="Q25" s="20" t="s">
        <v>21</v>
      </c>
      <c r="R25" s="18">
        <v>1</v>
      </c>
      <c r="S25" s="18">
        <v>1</v>
      </c>
      <c r="T25" s="18">
        <v>1</v>
      </c>
      <c r="U25" s="18">
        <v>1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 s="24">
        <v>11</v>
      </c>
      <c r="AB25" s="12">
        <v>11</v>
      </c>
      <c r="AC25" s="10" t="s">
        <v>15</v>
      </c>
      <c r="AD25" s="10" t="s">
        <v>15</v>
      </c>
      <c r="AE25" s="6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2015-05-03T15:50:40Z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90cac14f-c47c-4e8a-8282-c505ca92ffc9</vt:lpwstr>
  </property>
</Properties>
</file>